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ew\Desktop\"/>
    </mc:Choice>
  </mc:AlternateContent>
  <xr:revisionPtr revIDLastSave="0" documentId="13_ncr:1_{E542991A-9034-49D0-BB15-754E1BAE7045}" xr6:coauthVersionLast="47" xr6:coauthVersionMax="47" xr10:uidLastSave="{00000000-0000-0000-0000-000000000000}"/>
  <bookViews>
    <workbookView xWindow="-108" yWindow="-108" windowWidth="30936" windowHeight="1677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5" i="1" l="1"/>
  <c r="G18" i="1"/>
  <c r="G26" i="1"/>
  <c r="F15" i="1"/>
  <c r="G21" i="1"/>
  <c r="G20" i="1"/>
  <c r="G19" i="1"/>
  <c r="G10" i="1"/>
  <c r="G9" i="1"/>
  <c r="G36" i="1" l="1"/>
  <c r="G22" i="1"/>
  <c r="G24" i="1" s="1"/>
  <c r="G27" i="1" s="1"/>
  <c r="G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<sst xmlns="http://schemas.openxmlformats.org/spreadsheetml/2006/main" count="79" uniqueCount="46">
  <si>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</si>
  <si>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</si>
  <si>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</si>
  <si>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</si>
  <si>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</si>
  <si>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</si>
  <si>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</si>
  <si>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</si>
  <si>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</si>
  <si>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</si>
  <si>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</si>
  <si>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</si>
  <si>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</si>
  <si>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</si>
  <si>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</si>
  <si>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</si>
  <si>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</si>
  <si>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</si>
  <si>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</si>
  <si>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</si>
  <si>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</si>
  <si>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</si>
  <si>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</si>
  <si>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</si>
  <si>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</si>
  <si>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</si>
  <si>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</si>
  <si>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</si>
  <si>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</si>
  <si>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</si>
  <si>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</si>
  <si>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</si>
  <si>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ESP-32</t>
  </si>
  <si>
    <t>3.3V Regulator</t>
  </si>
  <si>
    <t>ESP32-S3-WROOM-1</t>
  </si>
  <si>
    <t>A4402KLPTR-T</t>
  </si>
  <si>
    <t>1.8V -3.3V</t>
  </si>
  <si>
    <t>Andrew, Sam B, Sam M, Jacob D, Adrian P, Mo</t>
  </si>
  <si>
    <t>1.0</t>
  </si>
  <si>
    <t>+3.0V -  3.6V</t>
  </si>
  <si>
    <t>IMU</t>
  </si>
  <si>
    <t>BNO055</t>
  </si>
  <si>
    <t xml:space="preserve"> +2.4V - 3.6V</t>
  </si>
  <si>
    <t>AP63203WU-7</t>
  </si>
  <si>
    <t>+3.8V - 36V</t>
  </si>
  <si>
    <t xml:space="preserve">ANDREW IMOUKHUEDE Team 308 Power Budget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</si>
</sst>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rgb="FF000000"/>
      <name val="Calibri"/>
    </font>
    <font>
      <sz val="12"/>
      <color rgb="FF000000"/>
      <name val="Arial"/>
      <family val="2"/>
    </font>
    <font>
      <b/>
      <sz val="24"/>
      <color rgb="FF000000"/>
      <name val="Arial"/>
      <family val="2"/>
    </font>
    <font>
      <b/>
      <sz val="12"/>
      <color rgb="FF000000"/>
      <name val="Arial"/>
      <family val="2"/>
    </font>
    <font>
      <sz val="12"/>
      <name val="Arial"/>
      <family val="2"/>
    </font>
    <font>
      <b/>
      <i/>
      <sz val="12"/>
      <color rgb="FF000000"/>
      <name val="Arial"/>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54">
    <xf numFmtId="0" fontId="0" fillId="0" borderId="0" xfId="0"/>
    <xf numFmtId="49" fontId="1" fillId="0" borderId="0" xfId="0" applyNumberFormat="1" applyFont="1" applyAlignment="1">
      <alignment horizontal="center"/>
    </xf>
    <xf numFmtId="0" fontId="2" fillId="0" borderId="0" xfId="0" applyFont="1" applyAlignment="1">
      <alignment horizontal="center"/>
    </xf>
    <xf numFmtId="0" fontId="1" fillId="0" borderId="0" xfId="0" applyFont="1"/>
    <xf numFmtId="0" fontId="1" fillId="0" borderId="0" xfId="0" applyFont="1"/>
    <xf numFmtId="0" fontId="3" fillId="0" borderId="1" xfId="0" applyFont="1" applyBorder="1"/>
    <xf numFmtId="0" fontId="4" fillId="0" borderId="1" xfId="0" applyFont="1" applyBorder="1"/>
    <xf numFmtId="49" fontId="3" fillId="0" borderId="0" xfId="0" applyNumberFormat="1" applyFont="1" applyAlignment="1">
      <alignment horizontal="center"/>
    </xf>
    <xf numFmtId="0" fontId="3" fillId="0" borderId="0" xfId="0" applyFont="1" applyAlignment="1">
      <alignment horizontal="center"/>
    </xf>
    <xf numFmtId="0" fontId="3" fillId="0" borderId="0" xfId="0" applyFont="1"/>
    <xf numFmtId="49" fontId="3" fillId="0" borderId="1" xfId="0" applyNumberFormat="1" applyFont="1" applyBorder="1" applyAlignment="1">
      <alignment horizontal="right"/>
    </xf>
    <xf numFmtId="0" fontId="5" fillId="2" borderId="2" xfId="0" applyFont="1" applyFill="1" applyBorder="1" applyAlignment="1">
      <alignment wrapText="1"/>
    </xf>
    <xf numFmtId="0" fontId="4" fillId="0" borderId="3" xfId="0" applyFont="1" applyBorder="1"/>
    <xf numFmtId="0" fontId="4" fillId="0" borderId="4" xfId="0" applyFont="1" applyBorder="1"/>
    <xf numFmtId="0" fontId="3" fillId="3" borderId="2" xfId="0" applyFont="1" applyFill="1" applyBorder="1" applyAlignment="1">
      <alignment horizontal="center"/>
    </xf>
    <xf numFmtId="0" fontId="3" fillId="3" borderId="5" xfId="0" applyFont="1" applyFill="1" applyBorder="1" applyAlignment="1">
      <alignment horizontal="center"/>
    </xf>
    <xf numFmtId="49" fontId="3" fillId="3" borderId="5" xfId="0" applyNumberFormat="1"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1" fillId="0" borderId="8" xfId="0" applyFont="1" applyBorder="1"/>
    <xf numFmtId="0" fontId="1" fillId="0" borderId="0" xfId="0" applyFont="1" applyAlignment="1">
      <alignment horizontal="center"/>
    </xf>
    <xf numFmtId="0" fontId="1" fillId="0" borderId="9" xfId="0" applyFont="1" applyBorder="1"/>
    <xf numFmtId="0" fontId="1" fillId="0" borderId="0" xfId="0" applyFont="1" applyAlignment="1">
      <alignment wrapText="1"/>
    </xf>
    <xf numFmtId="0" fontId="3" fillId="0" borderId="8" xfId="0" applyFont="1" applyBorder="1"/>
    <xf numFmtId="0" fontId="3" fillId="0" borderId="9" xfId="0" applyFont="1" applyBorder="1"/>
    <xf numFmtId="0" fontId="5" fillId="3" borderId="10" xfId="0" applyFont="1" applyFill="1" applyBorder="1"/>
    <xf numFmtId="0" fontId="3" fillId="3" borderId="1" xfId="0" applyFont="1" applyFill="1" applyBorder="1" applyAlignment="1">
      <alignment horizontal="center"/>
    </xf>
    <xf numFmtId="0" fontId="5" fillId="0" borderId="0" xfId="0" applyFont="1" applyAlignment="1">
      <alignment horizontal="right"/>
    </xf>
    <xf numFmtId="9" fontId="1" fillId="0" borderId="9" xfId="0" applyNumberFormat="1" applyFont="1" applyBorder="1"/>
    <xf numFmtId="0" fontId="5" fillId="0" borderId="8" xfId="0" applyFont="1" applyBorder="1" applyAlignment="1">
      <alignment horizontal="left"/>
    </xf>
    <xf numFmtId="49" fontId="5" fillId="0" borderId="0" xfId="0" applyNumberFormat="1" applyFont="1" applyAlignment="1">
      <alignment horizontal="right"/>
    </xf>
    <xf numFmtId="0" fontId="1" fillId="0" borderId="9" xfId="0" applyFont="1" applyBorder="1" applyAlignment="1">
      <alignment horizontal="right"/>
    </xf>
    <xf numFmtId="0" fontId="5" fillId="0" borderId="8" xfId="0" applyFont="1" applyBorder="1" applyAlignment="1">
      <alignment wrapText="1"/>
    </xf>
    <xf numFmtId="0" fontId="5" fillId="0" borderId="0" xfId="0" applyFont="1" applyAlignment="1">
      <alignment wrapText="1"/>
    </xf>
    <xf numFmtId="49" fontId="5" fillId="0" borderId="0" xfId="0" applyNumberFormat="1" applyFont="1" applyAlignment="1">
      <alignment wrapText="1"/>
    </xf>
    <xf numFmtId="0" fontId="5" fillId="0" borderId="8" xfId="0" applyFont="1" applyBorder="1"/>
    <xf numFmtId="0" fontId="5" fillId="0" borderId="9" xfId="0" applyFont="1" applyBorder="1"/>
    <xf numFmtId="0" fontId="5" fillId="0" borderId="11" xfId="0" applyFont="1" applyBorder="1" applyAlignment="1">
      <alignment wrapText="1"/>
    </xf>
    <xf numFmtId="0" fontId="4" fillId="0" borderId="12" xfId="0" applyFont="1" applyBorder="1"/>
    <xf numFmtId="0" fontId="4" fillId="0" borderId="13"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1" fillId="0" borderId="0" xfId="0" applyFont="1" applyAlignment="1">
      <alignment horizontal="left"/>
    </xf>
    <xf numFmtId="0" fontId="1" fillId="0" borderId="0" xfId="0" applyFont="1" applyAlignment="1">
      <alignment horizontal="right"/>
    </xf>
    <xf numFmtId="0" fontId="1" fillId="0" borderId="14" xfId="0" applyFont="1" applyBorder="1" applyAlignment="1">
      <alignment horizontal="left"/>
    </xf>
    <xf numFmtId="0" fontId="3" fillId="0" borderId="8" xfId="0" applyFont="1" applyBorder="1" applyAlignment="1">
      <alignment horizontal="center"/>
    </xf>
    <xf numFmtId="0" fontId="1" fillId="0" borderId="14" xfId="0" applyFont="1" applyBorder="1"/>
    <xf numFmtId="0" fontId="3" fillId="0" borderId="8" xfId="0" applyFont="1" applyBorder="1" applyAlignment="1">
      <alignment vertical="center" wrapText="1"/>
    </xf>
    <xf numFmtId="0" fontId="3" fillId="0" borderId="16" xfId="0" applyFont="1" applyBorder="1" applyAlignment="1">
      <alignment horizontal="center"/>
    </xf>
    <xf numFmtId="0" fontId="3" fillId="0" borderId="17" xfId="0" applyFont="1" applyBorder="1" applyAlignment="1">
      <alignment horizontal="center"/>
    </xf>
    <xf numFmtId="49" fontId="3" fillId="0" borderId="17" xfId="0" applyNumberFormat="1" applyFont="1" applyBorder="1" applyAlignment="1">
      <alignment horizontal="center"/>
    </xf>
    <xf numFmtId="0" fontId="3" fillId="0" borderId="15" xfId="0" applyFont="1" applyBorder="1" applyAlignment="1">
      <alignment horizontal="center"/>
    </xf>
    <xf numFmtId="0" fontId="3" fillId="0" borderId="18" xfId="0" applyFont="1" applyBorder="1" applyAlignment="1">
      <alignment horizontal="center"/>
    </xf>
    <xf numFmtId="49" fontId="1" fillId="0" borderId="0" xfId="0" applyNumberFormat="1" applyFont="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7"/>
  <sheetViews>
    <sheetView tabSelected="1" workbookViewId="0">
      <selection activeCell="F4" sqref="F4"/>
    </sheetView>
  </sheetViews>
  <sheetFormatPr defaultColWidth="13.5" defaultRowHeight="15.75" customHeight="1" x14ac:dyDescent="0.25"/>
  <cols>
    <col min="1" max="1" width="26.09765625" style="4" customWidth="1"/>
    <col min="2" max="2" width="23.09765625" style="4" customWidth="1"/>
    <col min="3" max="3" width="13.5" style="4" customWidth="1"/>
    <col min="4" max="4" width="24.69921875" style="53" bestFit="1" customWidth="1"/>
    <col min="5" max="5" width="6.8984375" style="4" customWidth="1"/>
    <col min="6" max="6" width="39.8984375" style="4" customWidth="1"/>
    <col min="7" max="7" width="22" style="4" customWidth="1"/>
    <col min="8" max="8" width="9" style="4" customWidth="1"/>
    <col min="9" max="16384" width="13.5" style="4"/>
  </cols>
  <sheetData>
    <row r="1" spans="1:8" ht="30" customHeight="1" x14ac:dyDescent="0.5">
      <c r="A1" s="2" t="s">
        <v>45</v>
      </c>
      <c r="B1" s="3"/>
      <c r="C1" s="3"/>
      <c r="D1" s="3"/>
      <c r="E1" s="3"/>
      <c r="F1" s="3"/>
      <c r="G1" s="3"/>
      <c r="H1" s="3"/>
    </row>
    <row r="2" spans="1:8" ht="15" customHeight="1" x14ac:dyDescent="0.3">
      <c r="A2" s="5" t="s">
        <v>0</v>
      </c>
      <c r="B2" s="6">
        <v>308</v>
      </c>
      <c r="D2" s="7"/>
      <c r="E2" s="8"/>
    </row>
    <row r="3" spans="1:8" ht="15" customHeight="1" x14ac:dyDescent="0.3">
      <c r="A3" s="5" t="s">
        <v>1</v>
      </c>
      <c r="B3" s="5"/>
      <c r="C3" s="9"/>
      <c r="D3" s="7"/>
      <c r="E3" s="8"/>
      <c r="F3" s="9"/>
      <c r="G3" s="9"/>
      <c r="H3" s="9"/>
    </row>
    <row r="4" spans="1:8" ht="15" customHeight="1" x14ac:dyDescent="0.3">
      <c r="A4" s="5" t="s">
        <v>2</v>
      </c>
      <c r="B4" s="5" t="s">
        <v>37</v>
      </c>
      <c r="C4" s="9"/>
      <c r="D4" s="7"/>
      <c r="E4" s="8"/>
      <c r="F4" s="9"/>
      <c r="G4" s="9"/>
      <c r="H4" s="9"/>
    </row>
    <row r="5" spans="1:8" ht="15" customHeight="1" x14ac:dyDescent="0.3">
      <c r="A5" s="5" t="s">
        <v>3</v>
      </c>
      <c r="B5" s="10" t="s">
        <v>38</v>
      </c>
      <c r="C5" s="9"/>
      <c r="D5" s="7"/>
      <c r="E5" s="8"/>
      <c r="F5" s="9"/>
      <c r="G5" s="9"/>
      <c r="H5" s="9"/>
    </row>
    <row r="6" spans="1:8" ht="15" customHeight="1" x14ac:dyDescent="0.3">
      <c r="A6" s="9"/>
      <c r="B6" s="9"/>
      <c r="C6" s="9"/>
      <c r="D6" s="7"/>
      <c r="E6" s="8"/>
      <c r="F6" s="9"/>
      <c r="G6" s="9"/>
      <c r="H6" s="9"/>
    </row>
    <row r="7" spans="1:8" ht="15" customHeight="1" x14ac:dyDescent="0.3">
      <c r="A7" s="11" t="s">
        <v>4</v>
      </c>
      <c r="B7" s="12"/>
      <c r="C7" s="12"/>
      <c r="D7" s="12"/>
      <c r="E7" s="12"/>
      <c r="F7" s="12"/>
      <c r="G7" s="12"/>
      <c r="H7" s="13"/>
    </row>
    <row r="8" spans="1:8" ht="15" customHeight="1" x14ac:dyDescent="0.3">
      <c r="A8" s="14" t="s">
        <v>5</v>
      </c>
      <c r="B8" s="15" t="s">
        <v>6</v>
      </c>
      <c r="C8" s="15" t="s">
        <v>7</v>
      </c>
      <c r="D8" s="16" t="s">
        <v>8</v>
      </c>
      <c r="E8" s="15" t="s">
        <v>9</v>
      </c>
      <c r="F8" s="17" t="s">
        <v>10</v>
      </c>
      <c r="G8" s="18" t="s">
        <v>11</v>
      </c>
      <c r="H8" s="18" t="s">
        <v>12</v>
      </c>
    </row>
    <row r="9" spans="1:8" ht="15" customHeight="1" x14ac:dyDescent="0.25">
      <c r="A9" s="19"/>
      <c r="B9" s="4" t="s">
        <v>32</v>
      </c>
      <c r="C9" s="4" t="s">
        <v>34</v>
      </c>
      <c r="D9" s="1" t="s">
        <v>39</v>
      </c>
      <c r="E9" s="20">
        <v>1</v>
      </c>
      <c r="F9" s="4">
        <v>1000</v>
      </c>
      <c r="G9" s="21">
        <f t="shared" ref="G9:G10" si="0">E9*F9</f>
        <v>1000</v>
      </c>
      <c r="H9" s="21" t="s">
        <v>14</v>
      </c>
    </row>
    <row r="10" spans="1:8" ht="15" customHeight="1" x14ac:dyDescent="0.25">
      <c r="A10" s="19"/>
      <c r="B10" s="22" t="s">
        <v>40</v>
      </c>
      <c r="C10" s="4" t="s">
        <v>41</v>
      </c>
      <c r="D10" s="1" t="s">
        <v>42</v>
      </c>
      <c r="E10" s="20">
        <v>1</v>
      </c>
      <c r="F10" s="4">
        <v>20</v>
      </c>
      <c r="G10" s="21">
        <f t="shared" si="0"/>
        <v>20</v>
      </c>
      <c r="H10" s="21" t="s">
        <v>14</v>
      </c>
    </row>
    <row r="11" spans="1:8" ht="15" customHeight="1" x14ac:dyDescent="0.25">
      <c r="A11" s="19"/>
      <c r="D11" s="1"/>
      <c r="E11" s="20"/>
      <c r="G11" s="21"/>
      <c r="H11" s="21"/>
    </row>
    <row r="12" spans="1:8" ht="15" customHeight="1" x14ac:dyDescent="0.25">
      <c r="A12" s="19"/>
      <c r="D12" s="1"/>
      <c r="E12" s="20"/>
      <c r="G12" s="21"/>
      <c r="H12" s="21"/>
    </row>
    <row r="13" spans="1:8" ht="15" customHeight="1" x14ac:dyDescent="0.25">
      <c r="A13" s="19"/>
      <c r="D13" s="1"/>
      <c r="E13" s="20"/>
      <c r="G13" s="21"/>
      <c r="H13" s="21"/>
    </row>
    <row r="14" spans="1:8" ht="15" customHeight="1" x14ac:dyDescent="0.25">
      <c r="A14" s="19"/>
      <c r="D14" s="1"/>
      <c r="E14" s="20"/>
      <c r="G14" s="21"/>
      <c r="H14" s="21"/>
    </row>
    <row r="15" spans="1:8" ht="15" customHeight="1" x14ac:dyDescent="0.3">
      <c r="A15" s="23"/>
      <c r="B15" s="9"/>
      <c r="C15" s="9"/>
      <c r="D15" s="7"/>
      <c r="E15" s="8"/>
      <c r="F15" s="24">
        <f>SUM(F9:F13)</f>
        <v>1020</v>
      </c>
      <c r="G15" s="24">
        <f>SUM(G9:G13)</f>
        <v>1020</v>
      </c>
      <c r="H15" s="24" t="s">
        <v>14</v>
      </c>
    </row>
    <row r="16" spans="1:8" ht="15" customHeight="1" x14ac:dyDescent="0.3">
      <c r="A16" s="11" t="s">
        <v>15</v>
      </c>
      <c r="B16" s="12"/>
      <c r="C16" s="12"/>
      <c r="D16" s="12"/>
      <c r="E16" s="12"/>
      <c r="F16" s="12"/>
      <c r="G16" s="12"/>
      <c r="H16" s="13"/>
    </row>
    <row r="17" spans="1:8" ht="15" customHeight="1" x14ac:dyDescent="0.3">
      <c r="A17" s="25" t="s">
        <v>18</v>
      </c>
      <c r="B17" s="15" t="s">
        <v>6</v>
      </c>
      <c r="C17" s="15" t="s">
        <v>7</v>
      </c>
      <c r="D17" s="16" t="s">
        <v>8</v>
      </c>
      <c r="E17" s="15" t="s">
        <v>9</v>
      </c>
      <c r="F17" s="17" t="s">
        <v>10</v>
      </c>
      <c r="G17" s="26" t="s">
        <v>11</v>
      </c>
      <c r="H17" s="26" t="s">
        <v>12</v>
      </c>
    </row>
    <row r="18" spans="1:8" ht="15" customHeight="1" x14ac:dyDescent="0.25">
      <c r="A18" s="19"/>
      <c r="B18" s="4" t="s">
        <v>32</v>
      </c>
      <c r="C18" s="4" t="s">
        <v>34</v>
      </c>
      <c r="D18" s="1" t="s">
        <v>39</v>
      </c>
      <c r="E18" s="20">
        <v>1</v>
      </c>
      <c r="F18" s="4">
        <v>1000</v>
      </c>
      <c r="G18" s="21">
        <f t="shared" ref="G18" si="1">E18*F18</f>
        <v>1000</v>
      </c>
      <c r="H18" s="21" t="s">
        <v>14</v>
      </c>
    </row>
    <row r="19" spans="1:8" ht="15" customHeight="1" x14ac:dyDescent="0.25">
      <c r="A19" s="19"/>
      <c r="B19" s="22" t="s">
        <v>40</v>
      </c>
      <c r="C19" s="4" t="s">
        <v>41</v>
      </c>
      <c r="D19" s="1" t="s">
        <v>42</v>
      </c>
      <c r="E19" s="20">
        <v>1</v>
      </c>
      <c r="F19" s="4">
        <v>20</v>
      </c>
      <c r="G19" s="21">
        <f t="shared" ref="G19:G21" si="2">E19*F19</f>
        <v>20</v>
      </c>
      <c r="H19" s="21" t="s">
        <v>14</v>
      </c>
    </row>
    <row r="20" spans="1:8" ht="15" customHeight="1" x14ac:dyDescent="0.25">
      <c r="A20" s="19"/>
      <c r="D20" s="1"/>
      <c r="E20" s="20"/>
      <c r="G20" s="21">
        <f t="shared" si="2"/>
        <v>0</v>
      </c>
      <c r="H20" s="21" t="s">
        <v>14</v>
      </c>
    </row>
    <row r="21" spans="1:8" ht="15" customHeight="1" x14ac:dyDescent="0.25">
      <c r="A21" s="19"/>
      <c r="D21" s="1"/>
      <c r="E21" s="20"/>
      <c r="G21" s="21">
        <f t="shared" si="2"/>
        <v>0</v>
      </c>
      <c r="H21" s="21" t="s">
        <v>14</v>
      </c>
    </row>
    <row r="22" spans="1:8" ht="15" customHeight="1" x14ac:dyDescent="0.3">
      <c r="A22" s="19"/>
      <c r="B22" s="27" t="s">
        <v>16</v>
      </c>
      <c r="C22" s="3"/>
      <c r="D22" s="3"/>
      <c r="E22" s="3"/>
      <c r="F22" s="3"/>
      <c r="G22" s="21">
        <f>SUM(G17:G21)</f>
        <v>1020</v>
      </c>
      <c r="H22" s="21" t="s">
        <v>14</v>
      </c>
    </row>
    <row r="23" spans="1:8" ht="15" customHeight="1" x14ac:dyDescent="0.3">
      <c r="A23" s="19"/>
      <c r="B23" s="27" t="s">
        <v>17</v>
      </c>
      <c r="C23" s="3"/>
      <c r="D23" s="3"/>
      <c r="E23" s="3"/>
      <c r="F23" s="3"/>
      <c r="G23" s="28">
        <v>0.25</v>
      </c>
      <c r="H23" s="28"/>
    </row>
    <row r="24" spans="1:8" ht="15" customHeight="1" x14ac:dyDescent="0.3">
      <c r="A24" s="19"/>
      <c r="B24" s="27" t="s">
        <v>19</v>
      </c>
      <c r="C24" s="3"/>
      <c r="D24" s="3"/>
      <c r="E24" s="3"/>
      <c r="F24" s="3"/>
      <c r="G24" s="21">
        <f>G22*(1+G23)</f>
        <v>1275</v>
      </c>
      <c r="H24" s="21" t="s">
        <v>14</v>
      </c>
    </row>
    <row r="25" spans="1:8" ht="15" customHeight="1" x14ac:dyDescent="0.3">
      <c r="A25" s="29"/>
      <c r="D25" s="1"/>
      <c r="E25" s="20"/>
      <c r="G25" s="21"/>
      <c r="H25" s="24"/>
    </row>
    <row r="26" spans="1:8" ht="15" customHeight="1" x14ac:dyDescent="0.3">
      <c r="A26" s="29" t="s">
        <v>20</v>
      </c>
      <c r="B26" s="4" t="s">
        <v>33</v>
      </c>
      <c r="C26" s="4" t="s">
        <v>43</v>
      </c>
      <c r="D26" s="1" t="s">
        <v>44</v>
      </c>
      <c r="E26" s="20">
        <v>1</v>
      </c>
      <c r="F26" s="4">
        <v>2000</v>
      </c>
      <c r="G26" s="21">
        <f t="shared" ref="G26" si="3">E26*F26</f>
        <v>2000</v>
      </c>
      <c r="H26" s="21" t="s">
        <v>14</v>
      </c>
    </row>
    <row r="27" spans="1:8" ht="15" customHeight="1" x14ac:dyDescent="0.3">
      <c r="A27" s="19"/>
      <c r="B27" s="30" t="s">
        <v>21</v>
      </c>
      <c r="C27" s="3"/>
      <c r="D27" s="3"/>
      <c r="E27" s="3"/>
      <c r="F27" s="3"/>
      <c r="G27" s="31">
        <f>G26-G24</f>
        <v>725</v>
      </c>
      <c r="H27" s="21" t="s">
        <v>14</v>
      </c>
    </row>
    <row r="28" spans="1:8" ht="15" customHeight="1" x14ac:dyDescent="0.3">
      <c r="A28" s="32"/>
      <c r="B28" s="33"/>
      <c r="C28" s="33"/>
      <c r="D28" s="34"/>
      <c r="E28" s="33"/>
      <c r="F28" s="33"/>
      <c r="G28" s="35"/>
      <c r="H28" s="36"/>
    </row>
    <row r="29" spans="1:8" ht="15" customHeight="1" x14ac:dyDescent="0.3">
      <c r="A29" s="11" t="s">
        <v>22</v>
      </c>
      <c r="B29" s="12"/>
      <c r="C29" s="12"/>
      <c r="D29" s="12"/>
      <c r="E29" s="12"/>
      <c r="F29" s="12"/>
      <c r="G29" s="12"/>
      <c r="H29" s="13"/>
    </row>
    <row r="30" spans="1:8" ht="15" customHeight="1" x14ac:dyDescent="0.3">
      <c r="A30" s="37"/>
      <c r="B30" s="38"/>
      <c r="C30" s="38"/>
      <c r="D30" s="38"/>
      <c r="E30" s="38"/>
      <c r="F30" s="38"/>
      <c r="G30" s="38"/>
      <c r="H30" s="39"/>
    </row>
    <row r="31" spans="1:8" ht="15" customHeight="1" x14ac:dyDescent="0.3">
      <c r="A31" s="11" t="s">
        <v>23</v>
      </c>
      <c r="B31" s="12"/>
      <c r="C31" s="12"/>
      <c r="D31" s="12"/>
      <c r="E31" s="12"/>
      <c r="F31" s="12"/>
      <c r="G31" s="12"/>
      <c r="H31" s="13"/>
    </row>
    <row r="32" spans="1:8" ht="15" customHeight="1" x14ac:dyDescent="0.3">
      <c r="A32" s="25" t="s">
        <v>24</v>
      </c>
      <c r="B32" s="15" t="s">
        <v>6</v>
      </c>
      <c r="C32" s="15" t="s">
        <v>7</v>
      </c>
      <c r="D32" s="16" t="s">
        <v>8</v>
      </c>
      <c r="E32" s="40" t="s">
        <v>25</v>
      </c>
      <c r="F32" s="17" t="s">
        <v>10</v>
      </c>
      <c r="G32" s="26" t="s">
        <v>11</v>
      </c>
      <c r="H32" s="26" t="s">
        <v>12</v>
      </c>
    </row>
    <row r="33" spans="1:8" ht="15" customHeight="1" x14ac:dyDescent="0.3">
      <c r="A33" s="41" t="s">
        <v>26</v>
      </c>
      <c r="B33" s="42" t="s">
        <v>27</v>
      </c>
      <c r="C33" s="20" t="s">
        <v>13</v>
      </c>
      <c r="D33" s="1" t="s">
        <v>28</v>
      </c>
      <c r="E33" s="20" t="s">
        <v>29</v>
      </c>
      <c r="F33" s="43">
        <v>5000</v>
      </c>
      <c r="G33" s="31">
        <v>5000</v>
      </c>
      <c r="H33" s="44" t="s">
        <v>14</v>
      </c>
    </row>
    <row r="34" spans="1:8" ht="15" customHeight="1" x14ac:dyDescent="0.3">
      <c r="A34" s="45"/>
      <c r="B34" s="42"/>
      <c r="C34" s="42"/>
      <c r="D34" s="1"/>
      <c r="E34" s="20"/>
      <c r="F34" s="43"/>
      <c r="G34" s="31"/>
      <c r="H34" s="46"/>
    </row>
    <row r="35" spans="1:8" ht="15" customHeight="1" x14ac:dyDescent="0.25">
      <c r="A35" s="47" t="s">
        <v>30</v>
      </c>
      <c r="B35" s="4" t="s">
        <v>33</v>
      </c>
      <c r="C35" s="4" t="s">
        <v>35</v>
      </c>
      <c r="D35" s="1" t="s">
        <v>36</v>
      </c>
      <c r="E35" s="20">
        <v>1</v>
      </c>
      <c r="F35" s="4">
        <v>2000</v>
      </c>
      <c r="G35" s="21">
        <f t="shared" ref="G35" si="4">E35*F35</f>
        <v>2000</v>
      </c>
      <c r="H35" s="21" t="s">
        <v>14</v>
      </c>
    </row>
    <row r="36" spans="1:8" ht="15" customHeight="1" x14ac:dyDescent="0.3">
      <c r="A36" s="45"/>
      <c r="B36" s="30" t="s">
        <v>31</v>
      </c>
      <c r="C36" s="3"/>
      <c r="D36" s="3"/>
      <c r="E36" s="3"/>
      <c r="F36" s="3"/>
      <c r="G36" s="31">
        <f>G33-SUM(G35:G35)</f>
        <v>3000</v>
      </c>
      <c r="H36" s="44" t="s">
        <v>14</v>
      </c>
    </row>
    <row r="37" spans="1:8" ht="15" customHeight="1" x14ac:dyDescent="0.3">
      <c r="A37" s="48"/>
      <c r="B37" s="49"/>
      <c r="C37" s="49"/>
      <c r="D37" s="50"/>
      <c r="E37" s="49"/>
      <c r="F37" s="49"/>
      <c r="G37" s="51"/>
      <c r="H37" s="52"/>
    </row>
  </sheetData>
  <mergeCells count="11">
    <mergeCell ref="A30:H30"/>
    <mergeCell ref="A31:H31"/>
    <mergeCell ref="B36:F36"/>
    <mergeCell ref="B22:F22"/>
    <mergeCell ref="B23:F23"/>
    <mergeCell ref="B24:F24"/>
    <mergeCell ref="B27:F27"/>
    <mergeCell ref="A29:H29"/>
    <mergeCell ref="A1:H1"/>
    <mergeCell ref="A7:H7"/>
    <mergeCell ref="A16:H16"/>
  </mergeCells>
  <conditionalFormatting sqref="G27">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Dirks</dc:creator>
  <cp:lastModifiedBy>Imoukhuede Andrew</cp:lastModifiedBy>
  <dcterms:created xsi:type="dcterms:W3CDTF">2026-02-12T06:08:00Z</dcterms:created>
  <dcterms:modified xsi:type="dcterms:W3CDTF">2026-02-15T23:25:04Z</dcterms:modified>
</cp:coreProperties>
</file>